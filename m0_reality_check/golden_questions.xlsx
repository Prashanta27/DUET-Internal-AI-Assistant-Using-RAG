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golden_questions" sheetId="2" state="visible" r:id="rId4"/>
    <sheet name="Column guide" sheetId="3" state="visible" r:id="rId5"/>
  </sheets>
  <definedNames>
    <definedName function="false" hidden="true" localSheetId="1" name="_xlnm._FilterDatabase" vbProcedure="false">golden_questions!$A$1:$I$104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<sst xmlns="http://schemas.openxmlformats.org/spreadsheetml/2006/main" count="104" uniqueCount="92">
  <si>
    <t xml:space="preserve">DUET Teaching Assistant -- Golden Evaluation Set</t>
  </si>
  <si>
    <t xml:space="preserve">What this file is</t>
  </si>
  <si>
    <t xml:space="preserve">The golden evaluation set for the DUET teaching assistant. Every retrieval and</t>
  </si>
  <si>
    <t xml:space="preserve">model decision in this project gets judged against these questions. Without it</t>
  </si>
  <si>
    <t xml:space="preserve">you are tuning blind and cannot report a single honest number.</t>
  </si>
  <si>
    <t xml:space="preserve">How to fill it in</t>
  </si>
  <si>
    <t xml:space="preserve">1. Open the 'golden_questions' sheet. Rows 2-4 are worked examples -- read them,</t>
  </si>
  <si>
    <t xml:space="preserve">   then DELETE them before you report results.</t>
  </si>
  <si>
    <t xml:space="preserve">2. Start at row 5. Yellow cells are the ones you fill in.</t>
  </si>
  <si>
    <t xml:space="preserve">3. Write questions a real DUET teacher would actually type. Not questions you</t>
  </si>
  <si>
    <t xml:space="preserve">   already know the system can answer. Biased questions produce a useless score.</t>
  </si>
  <si>
    <t xml:space="preserve">4. Open the source document, find the answer, and record the exact filename and</t>
  </si>
  <si>
    <t xml:space="preserve">   page. If you cannot find it in a document, the question does not belong here.</t>
  </si>
  <si>
    <t xml:space="preserve">5. Include roughly 15% 'unanswerable' questions -- things genuinely NOT in any</t>
  </si>
  <si>
    <t xml:space="preserve">   document. Leave expected_answer blank for those. The system must refuse them.</t>
  </si>
  <si>
    <t xml:space="preserve">   A model that never refuses will look perfect on the other 85% and be useless.</t>
  </si>
  <si>
    <t xml:space="preserve">Target for M0</t>
  </si>
  <si>
    <t xml:space="preserve">30 questions: 10 Bangla, 10 English, 10 Banglish. That is enough to steer every</t>
  </si>
  <si>
    <t xml:space="preserve">early decision. Expand to 150 at M5, not before -- writing 300 up front will</t>
  </si>
  <si>
    <t xml:space="preserve">burn a week you need for the pipeline.</t>
  </si>
  <si>
    <t xml:space="preserve">Rule</t>
  </si>
  <si>
    <t xml:space="preserve">Write the question and the expected answer BEFORE you run the system on it.</t>
  </si>
  <si>
    <t xml:space="preserve">Writing them afterwards, from what the system happened to output, is not</t>
  </si>
  <si>
    <t xml:space="preserve">evaluation -- it is decoration, and your adviser will see through it.</t>
  </si>
  <si>
    <t xml:space="preserve">Coverage (updates automatically)</t>
  </si>
  <si>
    <t xml:space="preserve">Bucket</t>
  </si>
  <si>
    <t xml:space="preserve">Written</t>
  </si>
  <si>
    <t xml:space="preserve">M0 target</t>
  </si>
  <si>
    <t xml:space="preserve">Still to write</t>
  </si>
  <si>
    <t xml:space="preserve">Bangla (bn)</t>
  </si>
  <si>
    <t xml:space="preserve">English (en)</t>
  </si>
  <si>
    <t xml:space="preserve">Banglish (bnglish)</t>
  </si>
  <si>
    <t xml:space="preserve">of which 'unanswerable'</t>
  </si>
  <si>
    <t xml:space="preserve">TOTAL written</t>
  </si>
  <si>
    <t xml:space="preserve">id</t>
  </si>
  <si>
    <t xml:space="preserve">language</t>
  </si>
  <si>
    <t xml:space="preserve">query_type</t>
  </si>
  <si>
    <t xml:space="preserve">question</t>
  </si>
  <si>
    <t xml:space="preserve">expected_answer</t>
  </si>
  <si>
    <t xml:space="preserve">expected_document</t>
  </si>
  <si>
    <t xml:space="preserve">expected_page</t>
  </si>
  <si>
    <t xml:space="preserve">expected_table_id</t>
  </si>
  <si>
    <t xml:space="preserve">notes</t>
  </si>
  <si>
    <t xml:space="preserve">EX1</t>
  </si>
  <si>
    <t xml:space="preserve">bn</t>
  </si>
  <si>
    <t xml:space="preserve">date</t>
  </si>
  <si>
    <t xml:space="preserve">২০২৬ সালের CSE পরীক্ষার রুটিন কবে প্রকাশিত হবে?</t>
  </si>
  <si>
    <t xml:space="preserve">১২ মার্চ ২০২৬</t>
  </si>
  <si>
    <t xml:space="preserve">academic_calendar_2026.pdf</t>
  </si>
  <si>
    <t xml:space="preserve">Bangla numerals in the source -- check the answer is not converted to 12</t>
  </si>
  <si>
    <t xml:space="preserve">EX2</t>
  </si>
  <si>
    <t xml:space="preserve">en</t>
  </si>
  <si>
    <t xml:space="preserve">table</t>
  </si>
  <si>
    <t xml:space="preserve">Show the CSE first-year courses with their credits as a table.</t>
  </si>
  <si>
    <t xml:space="preserve">CSE1101 Programming 3; CSE1102 Data Structure 3</t>
  </si>
  <si>
    <t xml:space="preserve">syllabus_cse_2026.pdf</t>
  </si>
  <si>
    <t xml:space="preserve">T2</t>
  </si>
  <si>
    <t xml:space="preserve">Whole table must come back intact, not split across chunks</t>
  </si>
  <si>
    <t xml:space="preserve">EX3</t>
  </si>
  <si>
    <t xml:space="preserve">bnglish</t>
  </si>
  <si>
    <t xml:space="preserve">factual</t>
  </si>
  <si>
    <t xml:space="preserve">thesis submission er last date kobe?</t>
  </si>
  <si>
    <t xml:space="preserve">30 June 2026</t>
  </si>
  <si>
    <t xml:space="preserve">thesis_guideline_2026.pdf</t>
  </si>
  <si>
    <t xml:space="preserve">Romanised Bangla -- this is the query-normalisation test case</t>
  </si>
  <si>
    <t xml:space="preserve">Column</t>
  </si>
  <si>
    <t xml:space="preserve">What to put in it</t>
  </si>
  <si>
    <t xml:space="preserve">Row number. Pre-filled -- do not change.</t>
  </si>
  <si>
    <t xml:space="preserve">bn = Bangla script | en = English | bnglish = romanised Bangla</t>
  </si>
  <si>
    <t xml:space="preserve">Pick from the dropdown.</t>
  </si>
  <si>
    <t xml:space="preserve">Type the question EXACTLY as a teacher would ask it.</t>
  </si>
  <si>
    <t xml:space="preserve">The short correct answer. A date, a name, a number, a rule.</t>
  </si>
  <si>
    <t xml:space="preserve">Exact filename the answer comes from, e.g. exam_notice_2026.pdf</t>
  </si>
  <si>
    <t xml:space="preserve">Page number in that document.</t>
  </si>
  <si>
    <t xml:space="preserve">Only for table questions. Leave blank otherwise.</t>
  </si>
  <si>
    <t xml:space="preserve">Anything tricky about this question.</t>
  </si>
  <si>
    <t xml:space="preserve">query_type values</t>
  </si>
  <si>
    <t xml:space="preserve">A plain fact stated in a document.</t>
  </si>
  <si>
    <t xml:space="preserve">A deadline or schedule. Watch Bangla vs English numerals.</t>
  </si>
  <si>
    <t xml:space="preserve">policy</t>
  </si>
  <si>
    <t xml:space="preserve">A rule or regulation, usually a paragraph not a sentence.</t>
  </si>
  <si>
    <t xml:space="preserve">name</t>
  </si>
  <si>
    <t xml:space="preserve">A person, department or course name.</t>
  </si>
  <si>
    <t xml:space="preserve">number</t>
  </si>
  <si>
    <t xml:space="preserve">A count, credit, fee or percentage.</t>
  </si>
  <si>
    <t xml:space="preserve">The answer lives inside a table and must come back as one.</t>
  </si>
  <si>
    <t xml:space="preserve">multi_hop</t>
  </si>
  <si>
    <t xml:space="preserve">Needs two or more facts combined to answer.</t>
  </si>
  <si>
    <t xml:space="preserve">comparison</t>
  </si>
  <si>
    <t xml:space="preserve">Needs two documents compared, e.g. 2025 vs 2026 calendar.</t>
  </si>
  <si>
    <t xml:space="preserve">unanswerable</t>
  </si>
  <si>
    <t xml:space="preserve">Genuinely not in any document. System must refuse.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</si>
</sst>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name val="Nirmala UI"/>
      <family val="0"/>
      <charset val="1"/>
    </font>
    <font>
      <sz val="10"/>
      <name val="Nirmala 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2"/>
    <col collapsed="false" customWidth="true" hidden="false" outlineLevel="0" max="4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30" customFormat="false" ht="15" hidden="false" customHeight="false" outlineLevel="0" collapsed="false">
      <c r="A30" s="2" t="s">
        <v>24</v>
      </c>
    </row>
    <row r="31" customFormat="false" ht="15" hidden="false" customHeight="false" outlineLevel="0" collapsed="false">
      <c r="A31" s="4" t="s">
        <v>25</v>
      </c>
      <c r="B31" s="4" t="s">
        <v>26</v>
      </c>
      <c r="C31" s="4" t="s">
        <v>27</v>
      </c>
      <c r="D31" s="4" t="s">
        <v>28</v>
      </c>
    </row>
    <row r="32" customFormat="false" ht="15" hidden="false" customHeight="false" outlineLevel="0" collapsed="false">
      <c r="A32" s="5" t="s">
        <v>29</v>
      </c>
      <c r="B32" s="5" t="n">
        <f aca="false">COUNTIF(golden_questions!$B$5:$B$104,"bn")</f>
        <v>0</v>
      </c>
      <c r="C32" s="5" t="n">
        <v>10</v>
      </c>
      <c r="D32" s="5" t="n">
        <f aca="false">MAX(0,C32-B32)</f>
        <v>10</v>
      </c>
    </row>
    <row r="33" customFormat="false" ht="15" hidden="false" customHeight="false" outlineLevel="0" collapsed="false">
      <c r="A33" s="5" t="s">
        <v>30</v>
      </c>
      <c r="B33" s="5" t="n">
        <f aca="false">COUNTIF(golden_questions!$B$5:$B$104,"en")</f>
        <v>0</v>
      </c>
      <c r="C33" s="5" t="n">
        <v>10</v>
      </c>
      <c r="D33" s="5" t="n">
        <f aca="false">MAX(0,C33-B33)</f>
        <v>10</v>
      </c>
    </row>
    <row r="34" customFormat="false" ht="15" hidden="false" customHeight="false" outlineLevel="0" collapsed="false">
      <c r="A34" s="5" t="s">
        <v>31</v>
      </c>
      <c r="B34" s="5" t="n">
        <f aca="false">COUNTIF(golden_questions!$B$5:$B$104,"bnglish")</f>
        <v>0</v>
      </c>
      <c r="C34" s="5" t="n">
        <v>10</v>
      </c>
      <c r="D34" s="5" t="n">
        <f aca="false">MAX(0,C34-B34)</f>
        <v>10</v>
      </c>
    </row>
    <row r="35" customFormat="false" ht="15" hidden="false" customHeight="false" outlineLevel="0" collapsed="false">
      <c r="A35" s="5" t="s">
        <v>32</v>
      </c>
      <c r="B35" s="5" t="n">
        <f aca="false">COUNTIF(golden_questions!$C$5:$C$104,"unanswerable")</f>
        <v>0</v>
      </c>
      <c r="C35" s="5" t="n">
        <v>5</v>
      </c>
      <c r="D35" s="5" t="n">
        <f aca="false">MAX(0,C35-B35)</f>
        <v>5</v>
      </c>
    </row>
    <row r="36" customFormat="false" ht="15" hidden="false" customHeight="false" outlineLevel="0" collapsed="false">
      <c r="A36" s="6" t="s">
        <v>33</v>
      </c>
      <c r="B36" s="6" t="n">
        <f aca="false">COUNTA(golden_questions!$D$5:$D$104)</f>
        <v>0</v>
      </c>
      <c r="C36" s="6" t="n">
        <v>30</v>
      </c>
      <c r="D36" s="6" t="n">
        <f aca="false">MAX(0,C36-B36)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42"/>
    <col collapsed="false" customWidth="true" hidden="false" outlineLevel="0" max="5" min="5" style="0" width="38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6"/>
  </cols>
  <sheetData>
    <row r="1" customFormat="false" ht="21.75" hidden="false" customHeight="tru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</row>
    <row r="2" customFormat="false" ht="30" hidden="false" customHeight="true" outlineLevel="0" collapsed="false">
      <c r="A2" s="8" t="s">
        <v>43</v>
      </c>
      <c r="B2" s="8" t="s">
        <v>44</v>
      </c>
      <c r="C2" s="8" t="s">
        <v>45</v>
      </c>
      <c r="D2" s="9" t="s">
        <v>46</v>
      </c>
      <c r="E2" s="9" t="s">
        <v>47</v>
      </c>
      <c r="F2" s="8" t="s">
        <v>48</v>
      </c>
      <c r="G2" s="8" t="n">
        <v>4</v>
      </c>
      <c r="H2" s="8"/>
      <c r="I2" s="8" t="s">
        <v>49</v>
      </c>
    </row>
    <row r="3" customFormat="false" ht="30" hidden="false" customHeight="true" outlineLevel="0" collapsed="false">
      <c r="A3" s="8" t="s">
        <v>50</v>
      </c>
      <c r="B3" s="8" t="s">
        <v>51</v>
      </c>
      <c r="C3" s="8" t="s">
        <v>52</v>
      </c>
      <c r="D3" s="9" t="s">
        <v>53</v>
      </c>
      <c r="E3" s="9" t="s">
        <v>54</v>
      </c>
      <c r="F3" s="8" t="s">
        <v>55</v>
      </c>
      <c r="G3" s="8" t="n">
        <v>12</v>
      </c>
      <c r="H3" s="8" t="s">
        <v>56</v>
      </c>
      <c r="I3" s="8" t="s">
        <v>57</v>
      </c>
    </row>
    <row r="4" customFormat="false" ht="30" hidden="false" customHeight="true" outlineLevel="0" collapsed="false">
      <c r="A4" s="8" t="s">
        <v>58</v>
      </c>
      <c r="B4" s="8" t="s">
        <v>59</v>
      </c>
      <c r="C4" s="8" t="s">
        <v>60</v>
      </c>
      <c r="D4" s="9" t="s">
        <v>61</v>
      </c>
      <c r="E4" s="9" t="s">
        <v>62</v>
      </c>
      <c r="F4" s="8" t="s">
        <v>63</v>
      </c>
      <c r="G4" s="8" t="n">
        <v>7</v>
      </c>
      <c r="H4" s="8"/>
      <c r="I4" s="8" t="s">
        <v>64</v>
      </c>
    </row>
    <row r="5" customFormat="false" ht="27.75" hidden="false" customHeight="true" outlineLevel="0" collapsed="false">
      <c r="A5" s="10" t="n">
        <v>1</v>
      </c>
      <c r="B5" s="11"/>
      <c r="C5" s="11"/>
      <c r="D5" s="12"/>
      <c r="E5" s="12"/>
      <c r="F5" s="11"/>
      <c r="G5" s="11"/>
      <c r="H5" s="11"/>
      <c r="I5" s="11"/>
    </row>
    <row r="6" customFormat="false" ht="27.75" hidden="false" customHeight="true" outlineLevel="0" collapsed="false">
      <c r="A6" s="10" t="n">
        <v>2</v>
      </c>
      <c r="B6" s="11"/>
      <c r="C6" s="11"/>
      <c r="D6" s="12"/>
      <c r="E6" s="12"/>
      <c r="F6" s="11"/>
      <c r="G6" s="11"/>
      <c r="H6" s="11"/>
      <c r="I6" s="11"/>
    </row>
    <row r="7" customFormat="false" ht="27.75" hidden="false" customHeight="true" outlineLevel="0" collapsed="false">
      <c r="A7" s="10" t="n">
        <v>3</v>
      </c>
      <c r="B7" s="11"/>
      <c r="C7" s="11"/>
      <c r="D7" s="12"/>
      <c r="E7" s="12"/>
      <c r="F7" s="11"/>
      <c r="G7" s="11"/>
      <c r="H7" s="11"/>
      <c r="I7" s="11"/>
    </row>
    <row r="8" customFormat="false" ht="27.75" hidden="false" customHeight="true" outlineLevel="0" collapsed="false">
      <c r="A8" s="10" t="n">
        <v>4</v>
      </c>
      <c r="B8" s="11"/>
      <c r="C8" s="11"/>
      <c r="D8" s="12"/>
      <c r="E8" s="12"/>
      <c r="F8" s="11"/>
      <c r="G8" s="11"/>
      <c r="H8" s="11"/>
      <c r="I8" s="11"/>
    </row>
    <row r="9" customFormat="false" ht="27.75" hidden="false" customHeight="true" outlineLevel="0" collapsed="false">
      <c r="A9" s="10" t="n">
        <v>5</v>
      </c>
      <c r="B9" s="11"/>
      <c r="C9" s="11"/>
      <c r="D9" s="12"/>
      <c r="E9" s="12"/>
      <c r="F9" s="11"/>
      <c r="G9" s="11"/>
      <c r="H9" s="11"/>
      <c r="I9" s="11"/>
    </row>
    <row r="10" customFormat="false" ht="27.75" hidden="false" customHeight="true" outlineLevel="0" collapsed="false">
      <c r="A10" s="10" t="n">
        <v>6</v>
      </c>
      <c r="B10" s="11"/>
      <c r="C10" s="11"/>
      <c r="D10" s="12"/>
      <c r="E10" s="12"/>
      <c r="F10" s="11"/>
      <c r="G10" s="11"/>
      <c r="H10" s="11"/>
      <c r="I10" s="11"/>
    </row>
    <row r="11" customFormat="false" ht="27.75" hidden="false" customHeight="true" outlineLevel="0" collapsed="false">
      <c r="A11" s="10" t="n">
        <v>7</v>
      </c>
      <c r="B11" s="11"/>
      <c r="C11" s="11"/>
      <c r="D11" s="12"/>
      <c r="E11" s="12"/>
      <c r="F11" s="11"/>
      <c r="G11" s="11"/>
      <c r="H11" s="11"/>
      <c r="I11" s="11"/>
    </row>
    <row r="12" customFormat="false" ht="27.75" hidden="false" customHeight="true" outlineLevel="0" collapsed="false">
      <c r="A12" s="10" t="n">
        <v>8</v>
      </c>
      <c r="B12" s="11"/>
      <c r="C12" s="11"/>
      <c r="D12" s="12"/>
      <c r="E12" s="12"/>
      <c r="F12" s="11"/>
      <c r="G12" s="11"/>
      <c r="H12" s="11"/>
      <c r="I12" s="11"/>
    </row>
    <row r="13" customFormat="false" ht="27.75" hidden="false" customHeight="true" outlineLevel="0" collapsed="false">
      <c r="A13" s="10" t="n">
        <v>9</v>
      </c>
      <c r="B13" s="11"/>
      <c r="C13" s="11"/>
      <c r="D13" s="12"/>
      <c r="E13" s="12"/>
      <c r="F13" s="11"/>
      <c r="G13" s="11"/>
      <c r="H13" s="11"/>
      <c r="I13" s="11"/>
    </row>
    <row r="14" customFormat="false" ht="27.75" hidden="false" customHeight="true" outlineLevel="0" collapsed="false">
      <c r="A14" s="10" t="n">
        <v>10</v>
      </c>
      <c r="B14" s="11"/>
      <c r="C14" s="11"/>
      <c r="D14" s="12"/>
      <c r="E14" s="12"/>
      <c r="F14" s="11"/>
      <c r="G14" s="11"/>
      <c r="H14" s="11"/>
      <c r="I14" s="11"/>
    </row>
    <row r="15" customFormat="false" ht="27.75" hidden="false" customHeight="true" outlineLevel="0" collapsed="false">
      <c r="A15" s="10" t="n">
        <v>11</v>
      </c>
      <c r="B15" s="11"/>
      <c r="C15" s="11"/>
      <c r="D15" s="12"/>
      <c r="E15" s="12"/>
      <c r="F15" s="11"/>
      <c r="G15" s="11"/>
      <c r="H15" s="11"/>
      <c r="I15" s="11"/>
    </row>
    <row r="16" customFormat="false" ht="27.75" hidden="false" customHeight="true" outlineLevel="0" collapsed="false">
      <c r="A16" s="10" t="n">
        <v>12</v>
      </c>
      <c r="B16" s="11"/>
      <c r="C16" s="11"/>
      <c r="D16" s="12"/>
      <c r="E16" s="12"/>
      <c r="F16" s="11"/>
      <c r="G16" s="11"/>
      <c r="H16" s="11"/>
      <c r="I16" s="11"/>
    </row>
    <row r="17" customFormat="false" ht="27.75" hidden="false" customHeight="true" outlineLevel="0" collapsed="false">
      <c r="A17" s="10" t="n">
        <v>13</v>
      </c>
      <c r="B17" s="11"/>
      <c r="C17" s="11"/>
      <c r="D17" s="12"/>
      <c r="E17" s="12"/>
      <c r="F17" s="11"/>
      <c r="G17" s="11"/>
      <c r="H17" s="11"/>
      <c r="I17" s="11"/>
    </row>
    <row r="18" customFormat="false" ht="27.75" hidden="false" customHeight="true" outlineLevel="0" collapsed="false">
      <c r="A18" s="10" t="n">
        <v>14</v>
      </c>
      <c r="B18" s="11"/>
      <c r="C18" s="11"/>
      <c r="D18" s="12"/>
      <c r="E18" s="12"/>
      <c r="F18" s="11"/>
      <c r="G18" s="11"/>
      <c r="H18" s="11"/>
      <c r="I18" s="11"/>
    </row>
    <row r="19" customFormat="false" ht="27.75" hidden="false" customHeight="true" outlineLevel="0" collapsed="false">
      <c r="A19" s="10" t="n">
        <v>15</v>
      </c>
      <c r="B19" s="11"/>
      <c r="C19" s="11"/>
      <c r="D19" s="12"/>
      <c r="E19" s="12"/>
      <c r="F19" s="11"/>
      <c r="G19" s="11"/>
      <c r="H19" s="11"/>
      <c r="I19" s="11"/>
    </row>
    <row r="20" customFormat="false" ht="27.75" hidden="false" customHeight="true" outlineLevel="0" collapsed="false">
      <c r="A20" s="10" t="n">
        <v>16</v>
      </c>
      <c r="B20" s="11"/>
      <c r="C20" s="11"/>
      <c r="D20" s="12"/>
      <c r="E20" s="12"/>
      <c r="F20" s="11"/>
      <c r="G20" s="11"/>
      <c r="H20" s="11"/>
      <c r="I20" s="11"/>
    </row>
    <row r="21" customFormat="false" ht="27.75" hidden="false" customHeight="true" outlineLevel="0" collapsed="false">
      <c r="A21" s="10" t="n">
        <v>17</v>
      </c>
      <c r="B21" s="11"/>
      <c r="C21" s="11"/>
      <c r="D21" s="12"/>
      <c r="E21" s="12"/>
      <c r="F21" s="11"/>
      <c r="G21" s="11"/>
      <c r="H21" s="11"/>
      <c r="I21" s="11"/>
    </row>
    <row r="22" customFormat="false" ht="27.75" hidden="false" customHeight="true" outlineLevel="0" collapsed="false">
      <c r="A22" s="10" t="n">
        <v>18</v>
      </c>
      <c r="B22" s="11"/>
      <c r="C22" s="11"/>
      <c r="D22" s="12"/>
      <c r="E22" s="12"/>
      <c r="F22" s="11"/>
      <c r="G22" s="11"/>
      <c r="H22" s="11"/>
      <c r="I22" s="11"/>
    </row>
    <row r="23" customFormat="false" ht="27.75" hidden="false" customHeight="true" outlineLevel="0" collapsed="false">
      <c r="A23" s="10" t="n">
        <v>19</v>
      </c>
      <c r="B23" s="11"/>
      <c r="C23" s="11"/>
      <c r="D23" s="12"/>
      <c r="E23" s="12"/>
      <c r="F23" s="11"/>
      <c r="G23" s="11"/>
      <c r="H23" s="11"/>
      <c r="I23" s="11"/>
    </row>
    <row r="24" customFormat="false" ht="27.75" hidden="false" customHeight="true" outlineLevel="0" collapsed="false">
      <c r="A24" s="10" t="n">
        <v>20</v>
      </c>
      <c r="B24" s="11"/>
      <c r="C24" s="11"/>
      <c r="D24" s="12"/>
      <c r="E24" s="12"/>
      <c r="F24" s="11"/>
      <c r="G24" s="11"/>
      <c r="H24" s="11"/>
      <c r="I24" s="11"/>
    </row>
    <row r="25" customFormat="false" ht="27.75" hidden="false" customHeight="true" outlineLevel="0" collapsed="false">
      <c r="A25" s="10" t="n">
        <v>21</v>
      </c>
      <c r="B25" s="11"/>
      <c r="C25" s="11"/>
      <c r="D25" s="12"/>
      <c r="E25" s="12"/>
      <c r="F25" s="11"/>
      <c r="G25" s="11"/>
      <c r="H25" s="11"/>
      <c r="I25" s="11"/>
    </row>
    <row r="26" customFormat="false" ht="27.75" hidden="false" customHeight="true" outlineLevel="0" collapsed="false">
      <c r="A26" s="10" t="n">
        <v>22</v>
      </c>
      <c r="B26" s="11"/>
      <c r="C26" s="11"/>
      <c r="D26" s="12"/>
      <c r="E26" s="12"/>
      <c r="F26" s="11"/>
      <c r="G26" s="11"/>
      <c r="H26" s="11"/>
      <c r="I26" s="11"/>
    </row>
    <row r="27" customFormat="false" ht="27.75" hidden="false" customHeight="true" outlineLevel="0" collapsed="false">
      <c r="A27" s="10" t="n">
        <v>23</v>
      </c>
      <c r="B27" s="11"/>
      <c r="C27" s="11"/>
      <c r="D27" s="12"/>
      <c r="E27" s="12"/>
      <c r="F27" s="11"/>
      <c r="G27" s="11"/>
      <c r="H27" s="11"/>
      <c r="I27" s="11"/>
    </row>
    <row r="28" customFormat="false" ht="27.75" hidden="false" customHeight="true" outlineLevel="0" collapsed="false">
      <c r="A28" s="10" t="n">
        <v>24</v>
      </c>
      <c r="B28" s="11"/>
      <c r="C28" s="11"/>
      <c r="D28" s="12"/>
      <c r="E28" s="12"/>
      <c r="F28" s="11"/>
      <c r="G28" s="11"/>
      <c r="H28" s="11"/>
      <c r="I28" s="11"/>
    </row>
    <row r="29" customFormat="false" ht="27.75" hidden="false" customHeight="true" outlineLevel="0" collapsed="false">
      <c r="A29" s="10" t="n">
        <v>25</v>
      </c>
      <c r="B29" s="11"/>
      <c r="C29" s="11"/>
      <c r="D29" s="12"/>
      <c r="E29" s="12"/>
      <c r="F29" s="11"/>
      <c r="G29" s="11"/>
      <c r="H29" s="11"/>
      <c r="I29" s="11"/>
    </row>
    <row r="30" customFormat="false" ht="27.75" hidden="false" customHeight="true" outlineLevel="0" collapsed="false">
      <c r="A30" s="10" t="n">
        <v>26</v>
      </c>
      <c r="B30" s="11"/>
      <c r="C30" s="11"/>
      <c r="D30" s="12"/>
      <c r="E30" s="12"/>
      <c r="F30" s="11"/>
      <c r="G30" s="11"/>
      <c r="H30" s="11"/>
      <c r="I30" s="11"/>
    </row>
    <row r="31" customFormat="false" ht="27.75" hidden="false" customHeight="true" outlineLevel="0" collapsed="false">
      <c r="A31" s="10" t="n">
        <v>27</v>
      </c>
      <c r="B31" s="11"/>
      <c r="C31" s="11"/>
      <c r="D31" s="12"/>
      <c r="E31" s="12"/>
      <c r="F31" s="11"/>
      <c r="G31" s="11"/>
      <c r="H31" s="11"/>
      <c r="I31" s="11"/>
    </row>
    <row r="32" customFormat="false" ht="27.75" hidden="false" customHeight="true" outlineLevel="0" collapsed="false">
      <c r="A32" s="10" t="n">
        <v>28</v>
      </c>
      <c r="B32" s="11"/>
      <c r="C32" s="11"/>
      <c r="D32" s="12"/>
      <c r="E32" s="12"/>
      <c r="F32" s="11"/>
      <c r="G32" s="11"/>
      <c r="H32" s="11"/>
      <c r="I32" s="11"/>
    </row>
    <row r="33" customFormat="false" ht="27.75" hidden="false" customHeight="true" outlineLevel="0" collapsed="false">
      <c r="A33" s="10" t="n">
        <v>29</v>
      </c>
      <c r="B33" s="11"/>
      <c r="C33" s="11"/>
      <c r="D33" s="12"/>
      <c r="E33" s="12"/>
      <c r="F33" s="11"/>
      <c r="G33" s="11"/>
      <c r="H33" s="11"/>
      <c r="I33" s="11"/>
    </row>
    <row r="34" customFormat="false" ht="27.75" hidden="false" customHeight="true" outlineLevel="0" collapsed="false">
      <c r="A34" s="10" t="n">
        <v>30</v>
      </c>
      <c r="B34" s="11"/>
      <c r="C34" s="11"/>
      <c r="D34" s="12"/>
      <c r="E34" s="12"/>
      <c r="F34" s="11"/>
      <c r="G34" s="11"/>
      <c r="H34" s="11"/>
      <c r="I34" s="11"/>
    </row>
    <row r="35" customFormat="false" ht="27.75" hidden="false" customHeight="true" outlineLevel="0" collapsed="false">
      <c r="A35" s="10" t="n">
        <v>31</v>
      </c>
      <c r="B35" s="11"/>
      <c r="C35" s="11"/>
      <c r="D35" s="12"/>
      <c r="E35" s="12"/>
      <c r="F35" s="11"/>
      <c r="G35" s="11"/>
      <c r="H35" s="11"/>
      <c r="I35" s="11"/>
    </row>
    <row r="36" customFormat="false" ht="27.75" hidden="false" customHeight="true" outlineLevel="0" collapsed="false">
      <c r="A36" s="10" t="n">
        <v>32</v>
      </c>
      <c r="B36" s="11"/>
      <c r="C36" s="11"/>
      <c r="D36" s="12"/>
      <c r="E36" s="12"/>
      <c r="F36" s="11"/>
      <c r="G36" s="11"/>
      <c r="H36" s="11"/>
      <c r="I36" s="11"/>
    </row>
    <row r="37" customFormat="false" ht="27.75" hidden="false" customHeight="true" outlineLevel="0" collapsed="false">
      <c r="A37" s="10" t="n">
        <v>33</v>
      </c>
      <c r="B37" s="11"/>
      <c r="C37" s="11"/>
      <c r="D37" s="12"/>
      <c r="E37" s="12"/>
      <c r="F37" s="11"/>
      <c r="G37" s="11"/>
      <c r="H37" s="11"/>
      <c r="I37" s="11"/>
    </row>
    <row r="38" customFormat="false" ht="27.75" hidden="false" customHeight="true" outlineLevel="0" collapsed="false">
      <c r="A38" s="10" t="n">
        <v>34</v>
      </c>
      <c r="B38" s="11"/>
      <c r="C38" s="11"/>
      <c r="D38" s="12"/>
      <c r="E38" s="12"/>
      <c r="F38" s="11"/>
      <c r="G38" s="11"/>
      <c r="H38" s="11"/>
      <c r="I38" s="11"/>
    </row>
    <row r="39" customFormat="false" ht="27.75" hidden="false" customHeight="true" outlineLevel="0" collapsed="false">
      <c r="A39" s="10" t="n">
        <v>35</v>
      </c>
      <c r="B39" s="11"/>
      <c r="C39" s="11"/>
      <c r="D39" s="12"/>
      <c r="E39" s="12"/>
      <c r="F39" s="11"/>
      <c r="G39" s="11"/>
      <c r="H39" s="11"/>
      <c r="I39" s="11"/>
    </row>
    <row r="40" customFormat="false" ht="27.75" hidden="false" customHeight="true" outlineLevel="0" collapsed="false">
      <c r="A40" s="10" t="n">
        <v>36</v>
      </c>
      <c r="B40" s="11"/>
      <c r="C40" s="11"/>
      <c r="D40" s="12"/>
      <c r="E40" s="12"/>
      <c r="F40" s="11"/>
      <c r="G40" s="11"/>
      <c r="H40" s="11"/>
      <c r="I40" s="11"/>
    </row>
    <row r="41" customFormat="false" ht="27.75" hidden="false" customHeight="true" outlineLevel="0" collapsed="false">
      <c r="A41" s="10" t="n">
        <v>37</v>
      </c>
      <c r="B41" s="11"/>
      <c r="C41" s="11"/>
      <c r="D41" s="12"/>
      <c r="E41" s="12"/>
      <c r="F41" s="11"/>
      <c r="G41" s="11"/>
      <c r="H41" s="11"/>
      <c r="I41" s="11"/>
    </row>
    <row r="42" customFormat="false" ht="27.75" hidden="false" customHeight="true" outlineLevel="0" collapsed="false">
      <c r="A42" s="10" t="n">
        <v>38</v>
      </c>
      <c r="B42" s="11"/>
      <c r="C42" s="11"/>
      <c r="D42" s="12"/>
      <c r="E42" s="12"/>
      <c r="F42" s="11"/>
      <c r="G42" s="11"/>
      <c r="H42" s="11"/>
      <c r="I42" s="11"/>
    </row>
    <row r="43" customFormat="false" ht="27.75" hidden="false" customHeight="true" outlineLevel="0" collapsed="false">
      <c r="A43" s="10" t="n">
        <v>39</v>
      </c>
      <c r="B43" s="11"/>
      <c r="C43" s="11"/>
      <c r="D43" s="12"/>
      <c r="E43" s="12"/>
      <c r="F43" s="11"/>
      <c r="G43" s="11"/>
      <c r="H43" s="11"/>
      <c r="I43" s="11"/>
    </row>
    <row r="44" customFormat="false" ht="27.75" hidden="false" customHeight="true" outlineLevel="0" collapsed="false">
      <c r="A44" s="10" t="n">
        <v>40</v>
      </c>
      <c r="B44" s="11"/>
      <c r="C44" s="11"/>
      <c r="D44" s="12"/>
      <c r="E44" s="12"/>
      <c r="F44" s="11"/>
      <c r="G44" s="11"/>
      <c r="H44" s="11"/>
      <c r="I44" s="11"/>
    </row>
    <row r="45" customFormat="false" ht="27.75" hidden="false" customHeight="true" outlineLevel="0" collapsed="false">
      <c r="A45" s="10" t="n">
        <v>41</v>
      </c>
      <c r="B45" s="11"/>
      <c r="C45" s="11"/>
      <c r="D45" s="12"/>
      <c r="E45" s="12"/>
      <c r="F45" s="11"/>
      <c r="G45" s="11"/>
      <c r="H45" s="11"/>
      <c r="I45" s="11"/>
    </row>
    <row r="46" customFormat="false" ht="27.75" hidden="false" customHeight="true" outlineLevel="0" collapsed="false">
      <c r="A46" s="10" t="n">
        <v>42</v>
      </c>
      <c r="B46" s="11"/>
      <c r="C46" s="11"/>
      <c r="D46" s="12"/>
      <c r="E46" s="12"/>
      <c r="F46" s="11"/>
      <c r="G46" s="11"/>
      <c r="H46" s="11"/>
      <c r="I46" s="11"/>
    </row>
    <row r="47" customFormat="false" ht="27.75" hidden="false" customHeight="true" outlineLevel="0" collapsed="false">
      <c r="A47" s="10" t="n">
        <v>43</v>
      </c>
      <c r="B47" s="11"/>
      <c r="C47" s="11"/>
      <c r="D47" s="12"/>
      <c r="E47" s="12"/>
      <c r="F47" s="11"/>
      <c r="G47" s="11"/>
      <c r="H47" s="11"/>
      <c r="I47" s="11"/>
    </row>
    <row r="48" customFormat="false" ht="27.75" hidden="false" customHeight="true" outlineLevel="0" collapsed="false">
      <c r="A48" s="10" t="n">
        <v>44</v>
      </c>
      <c r="B48" s="11"/>
      <c r="C48" s="11"/>
      <c r="D48" s="12"/>
      <c r="E48" s="12"/>
      <c r="F48" s="11"/>
      <c r="G48" s="11"/>
      <c r="H48" s="11"/>
      <c r="I48" s="11"/>
    </row>
    <row r="49" customFormat="false" ht="27.75" hidden="false" customHeight="true" outlineLevel="0" collapsed="false">
      <c r="A49" s="10" t="n">
        <v>45</v>
      </c>
      <c r="B49" s="11"/>
      <c r="C49" s="11"/>
      <c r="D49" s="12"/>
      <c r="E49" s="12"/>
      <c r="F49" s="11"/>
      <c r="G49" s="11"/>
      <c r="H49" s="11"/>
      <c r="I49" s="11"/>
    </row>
    <row r="50" customFormat="false" ht="27.75" hidden="false" customHeight="true" outlineLevel="0" collapsed="false">
      <c r="A50" s="10" t="n">
        <v>46</v>
      </c>
      <c r="B50" s="11"/>
      <c r="C50" s="11"/>
      <c r="D50" s="12"/>
      <c r="E50" s="12"/>
      <c r="F50" s="11"/>
      <c r="G50" s="11"/>
      <c r="H50" s="11"/>
      <c r="I50" s="11"/>
    </row>
    <row r="51" customFormat="false" ht="27.75" hidden="false" customHeight="true" outlineLevel="0" collapsed="false">
      <c r="A51" s="10" t="n">
        <v>47</v>
      </c>
      <c r="B51" s="11"/>
      <c r="C51" s="11"/>
      <c r="D51" s="12"/>
      <c r="E51" s="12"/>
      <c r="F51" s="11"/>
      <c r="G51" s="11"/>
      <c r="H51" s="11"/>
      <c r="I51" s="11"/>
    </row>
    <row r="52" customFormat="false" ht="27.75" hidden="false" customHeight="true" outlineLevel="0" collapsed="false">
      <c r="A52" s="10" t="n">
        <v>48</v>
      </c>
      <c r="B52" s="11"/>
      <c r="C52" s="11"/>
      <c r="D52" s="12"/>
      <c r="E52" s="12"/>
      <c r="F52" s="11"/>
      <c r="G52" s="11"/>
      <c r="H52" s="11"/>
      <c r="I52" s="11"/>
    </row>
    <row r="53" customFormat="false" ht="27.75" hidden="false" customHeight="true" outlineLevel="0" collapsed="false">
      <c r="A53" s="10" t="n">
        <v>49</v>
      </c>
      <c r="B53" s="11"/>
      <c r="C53" s="11"/>
      <c r="D53" s="12"/>
      <c r="E53" s="12"/>
      <c r="F53" s="11"/>
      <c r="G53" s="11"/>
      <c r="H53" s="11"/>
      <c r="I53" s="11"/>
    </row>
    <row r="54" customFormat="false" ht="27.75" hidden="false" customHeight="true" outlineLevel="0" collapsed="false">
      <c r="A54" s="10" t="n">
        <v>50</v>
      </c>
      <c r="B54" s="11"/>
      <c r="C54" s="11"/>
      <c r="D54" s="12"/>
      <c r="E54" s="12"/>
      <c r="F54" s="11"/>
      <c r="G54" s="11"/>
      <c r="H54" s="11"/>
      <c r="I54" s="11"/>
    </row>
    <row r="55" customFormat="false" ht="27.75" hidden="false" customHeight="true" outlineLevel="0" collapsed="false">
      <c r="A55" s="10" t="n">
        <v>51</v>
      </c>
      <c r="B55" s="11"/>
      <c r="C55" s="11"/>
      <c r="D55" s="12"/>
      <c r="E55" s="12"/>
      <c r="F55" s="11"/>
      <c r="G55" s="11"/>
      <c r="H55" s="11"/>
      <c r="I55" s="11"/>
    </row>
    <row r="56" customFormat="false" ht="27.75" hidden="false" customHeight="true" outlineLevel="0" collapsed="false">
      <c r="A56" s="10" t="n">
        <v>52</v>
      </c>
      <c r="B56" s="11"/>
      <c r="C56" s="11"/>
      <c r="D56" s="12"/>
      <c r="E56" s="12"/>
      <c r="F56" s="11"/>
      <c r="G56" s="11"/>
      <c r="H56" s="11"/>
      <c r="I56" s="11"/>
    </row>
    <row r="57" customFormat="false" ht="27.75" hidden="false" customHeight="true" outlineLevel="0" collapsed="false">
      <c r="A57" s="10" t="n">
        <v>53</v>
      </c>
      <c r="B57" s="11"/>
      <c r="C57" s="11"/>
      <c r="D57" s="12"/>
      <c r="E57" s="12"/>
      <c r="F57" s="11"/>
      <c r="G57" s="11"/>
      <c r="H57" s="11"/>
      <c r="I57" s="11"/>
    </row>
    <row r="58" customFormat="false" ht="27.75" hidden="false" customHeight="true" outlineLevel="0" collapsed="false">
      <c r="A58" s="10" t="n">
        <v>54</v>
      </c>
      <c r="B58" s="11"/>
      <c r="C58" s="11"/>
      <c r="D58" s="12"/>
      <c r="E58" s="12"/>
      <c r="F58" s="11"/>
      <c r="G58" s="11"/>
      <c r="H58" s="11"/>
      <c r="I58" s="11"/>
    </row>
    <row r="59" customFormat="false" ht="27.75" hidden="false" customHeight="true" outlineLevel="0" collapsed="false">
      <c r="A59" s="10" t="n">
        <v>55</v>
      </c>
      <c r="B59" s="11"/>
      <c r="C59" s="11"/>
      <c r="D59" s="12"/>
      <c r="E59" s="12"/>
      <c r="F59" s="11"/>
      <c r="G59" s="11"/>
      <c r="H59" s="11"/>
      <c r="I59" s="11"/>
    </row>
    <row r="60" customFormat="false" ht="27.75" hidden="false" customHeight="true" outlineLevel="0" collapsed="false">
      <c r="A60" s="10" t="n">
        <v>56</v>
      </c>
      <c r="B60" s="11"/>
      <c r="C60" s="11"/>
      <c r="D60" s="12"/>
      <c r="E60" s="12"/>
      <c r="F60" s="11"/>
      <c r="G60" s="11"/>
      <c r="H60" s="11"/>
      <c r="I60" s="11"/>
    </row>
    <row r="61" customFormat="false" ht="27.75" hidden="false" customHeight="true" outlineLevel="0" collapsed="false">
      <c r="A61" s="10" t="n">
        <v>57</v>
      </c>
      <c r="B61" s="11"/>
      <c r="C61" s="11"/>
      <c r="D61" s="12"/>
      <c r="E61" s="12"/>
      <c r="F61" s="11"/>
      <c r="G61" s="11"/>
      <c r="H61" s="11"/>
      <c r="I61" s="11"/>
    </row>
    <row r="62" customFormat="false" ht="27.75" hidden="false" customHeight="true" outlineLevel="0" collapsed="false">
      <c r="A62" s="10" t="n">
        <v>58</v>
      </c>
      <c r="B62" s="11"/>
      <c r="C62" s="11"/>
      <c r="D62" s="12"/>
      <c r="E62" s="12"/>
      <c r="F62" s="11"/>
      <c r="G62" s="11"/>
      <c r="H62" s="11"/>
      <c r="I62" s="11"/>
    </row>
    <row r="63" customFormat="false" ht="27.75" hidden="false" customHeight="true" outlineLevel="0" collapsed="false">
      <c r="A63" s="10" t="n">
        <v>59</v>
      </c>
      <c r="B63" s="11"/>
      <c r="C63" s="11"/>
      <c r="D63" s="12"/>
      <c r="E63" s="12"/>
      <c r="F63" s="11"/>
      <c r="G63" s="11"/>
      <c r="H63" s="11"/>
      <c r="I63" s="11"/>
    </row>
    <row r="64" customFormat="false" ht="27.75" hidden="false" customHeight="true" outlineLevel="0" collapsed="false">
      <c r="A64" s="10" t="n">
        <v>60</v>
      </c>
      <c r="B64" s="11"/>
      <c r="C64" s="11"/>
      <c r="D64" s="12"/>
      <c r="E64" s="12"/>
      <c r="F64" s="11"/>
      <c r="G64" s="11"/>
      <c r="H64" s="11"/>
      <c r="I64" s="11"/>
    </row>
    <row r="65" customFormat="false" ht="27.75" hidden="false" customHeight="true" outlineLevel="0" collapsed="false">
      <c r="A65" s="10" t="n">
        <v>61</v>
      </c>
      <c r="B65" s="11"/>
      <c r="C65" s="11"/>
      <c r="D65" s="12"/>
      <c r="E65" s="12"/>
      <c r="F65" s="11"/>
      <c r="G65" s="11"/>
      <c r="H65" s="11"/>
      <c r="I65" s="11"/>
    </row>
    <row r="66" customFormat="false" ht="27.75" hidden="false" customHeight="true" outlineLevel="0" collapsed="false">
      <c r="A66" s="10" t="n">
        <v>62</v>
      </c>
      <c r="B66" s="11"/>
      <c r="C66" s="11"/>
      <c r="D66" s="12"/>
      <c r="E66" s="12"/>
      <c r="F66" s="11"/>
      <c r="G66" s="11"/>
      <c r="H66" s="11"/>
      <c r="I66" s="11"/>
    </row>
    <row r="67" customFormat="false" ht="27.75" hidden="false" customHeight="true" outlineLevel="0" collapsed="false">
      <c r="A67" s="10" t="n">
        <v>63</v>
      </c>
      <c r="B67" s="11"/>
      <c r="C67" s="11"/>
      <c r="D67" s="12"/>
      <c r="E67" s="12"/>
      <c r="F67" s="11"/>
      <c r="G67" s="11"/>
      <c r="H67" s="11"/>
      <c r="I67" s="11"/>
    </row>
    <row r="68" customFormat="false" ht="27.75" hidden="false" customHeight="true" outlineLevel="0" collapsed="false">
      <c r="A68" s="10" t="n">
        <v>64</v>
      </c>
      <c r="B68" s="11"/>
      <c r="C68" s="11"/>
      <c r="D68" s="12"/>
      <c r="E68" s="12"/>
      <c r="F68" s="11"/>
      <c r="G68" s="11"/>
      <c r="H68" s="11"/>
      <c r="I68" s="11"/>
    </row>
    <row r="69" customFormat="false" ht="27.75" hidden="false" customHeight="true" outlineLevel="0" collapsed="false">
      <c r="A69" s="10" t="n">
        <v>65</v>
      </c>
      <c r="B69" s="11"/>
      <c r="C69" s="11"/>
      <c r="D69" s="12"/>
      <c r="E69" s="12"/>
      <c r="F69" s="11"/>
      <c r="G69" s="11"/>
      <c r="H69" s="11"/>
      <c r="I69" s="11"/>
    </row>
    <row r="70" customFormat="false" ht="27.75" hidden="false" customHeight="true" outlineLevel="0" collapsed="false">
      <c r="A70" s="10" t="n">
        <v>66</v>
      </c>
      <c r="B70" s="11"/>
      <c r="C70" s="11"/>
      <c r="D70" s="12"/>
      <c r="E70" s="12"/>
      <c r="F70" s="11"/>
      <c r="G70" s="11"/>
      <c r="H70" s="11"/>
      <c r="I70" s="11"/>
    </row>
    <row r="71" customFormat="false" ht="27.75" hidden="false" customHeight="true" outlineLevel="0" collapsed="false">
      <c r="A71" s="10" t="n">
        <v>67</v>
      </c>
      <c r="B71" s="11"/>
      <c r="C71" s="11"/>
      <c r="D71" s="12"/>
      <c r="E71" s="12"/>
      <c r="F71" s="11"/>
      <c r="G71" s="11"/>
      <c r="H71" s="11"/>
      <c r="I71" s="11"/>
    </row>
    <row r="72" customFormat="false" ht="27.75" hidden="false" customHeight="true" outlineLevel="0" collapsed="false">
      <c r="A72" s="10" t="n">
        <v>68</v>
      </c>
      <c r="B72" s="11"/>
      <c r="C72" s="11"/>
      <c r="D72" s="12"/>
      <c r="E72" s="12"/>
      <c r="F72" s="11"/>
      <c r="G72" s="11"/>
      <c r="H72" s="11"/>
      <c r="I72" s="11"/>
    </row>
    <row r="73" customFormat="false" ht="27.75" hidden="false" customHeight="true" outlineLevel="0" collapsed="false">
      <c r="A73" s="10" t="n">
        <v>69</v>
      </c>
      <c r="B73" s="11"/>
      <c r="C73" s="11"/>
      <c r="D73" s="12"/>
      <c r="E73" s="12"/>
      <c r="F73" s="11"/>
      <c r="G73" s="11"/>
      <c r="H73" s="11"/>
      <c r="I73" s="11"/>
    </row>
    <row r="74" customFormat="false" ht="27.75" hidden="false" customHeight="true" outlineLevel="0" collapsed="false">
      <c r="A74" s="10" t="n">
        <v>70</v>
      </c>
      <c r="B74" s="11"/>
      <c r="C74" s="11"/>
      <c r="D74" s="12"/>
      <c r="E74" s="12"/>
      <c r="F74" s="11"/>
      <c r="G74" s="11"/>
      <c r="H74" s="11"/>
      <c r="I74" s="11"/>
    </row>
    <row r="75" customFormat="false" ht="27.75" hidden="false" customHeight="true" outlineLevel="0" collapsed="false">
      <c r="A75" s="10" t="n">
        <v>71</v>
      </c>
      <c r="B75" s="11"/>
      <c r="C75" s="11"/>
      <c r="D75" s="12"/>
      <c r="E75" s="12"/>
      <c r="F75" s="11"/>
      <c r="G75" s="11"/>
      <c r="H75" s="11"/>
      <c r="I75" s="11"/>
    </row>
    <row r="76" customFormat="false" ht="27.75" hidden="false" customHeight="true" outlineLevel="0" collapsed="false">
      <c r="A76" s="10" t="n">
        <v>72</v>
      </c>
      <c r="B76" s="11"/>
      <c r="C76" s="11"/>
      <c r="D76" s="12"/>
      <c r="E76" s="12"/>
      <c r="F76" s="11"/>
      <c r="G76" s="11"/>
      <c r="H76" s="11"/>
      <c r="I76" s="11"/>
    </row>
    <row r="77" customFormat="false" ht="27.75" hidden="false" customHeight="true" outlineLevel="0" collapsed="false">
      <c r="A77" s="10" t="n">
        <v>73</v>
      </c>
      <c r="B77" s="11"/>
      <c r="C77" s="11"/>
      <c r="D77" s="12"/>
      <c r="E77" s="12"/>
      <c r="F77" s="11"/>
      <c r="G77" s="11"/>
      <c r="H77" s="11"/>
      <c r="I77" s="11"/>
    </row>
    <row r="78" customFormat="false" ht="27.75" hidden="false" customHeight="true" outlineLevel="0" collapsed="false">
      <c r="A78" s="10" t="n">
        <v>74</v>
      </c>
      <c r="B78" s="11"/>
      <c r="C78" s="11"/>
      <c r="D78" s="12"/>
      <c r="E78" s="12"/>
      <c r="F78" s="11"/>
      <c r="G78" s="11"/>
      <c r="H78" s="11"/>
      <c r="I78" s="11"/>
    </row>
    <row r="79" customFormat="false" ht="27.75" hidden="false" customHeight="true" outlineLevel="0" collapsed="false">
      <c r="A79" s="10" t="n">
        <v>75</v>
      </c>
      <c r="B79" s="11"/>
      <c r="C79" s="11"/>
      <c r="D79" s="12"/>
      <c r="E79" s="12"/>
      <c r="F79" s="11"/>
      <c r="G79" s="11"/>
      <c r="H79" s="11"/>
      <c r="I79" s="11"/>
    </row>
    <row r="80" customFormat="false" ht="27.75" hidden="false" customHeight="true" outlineLevel="0" collapsed="false">
      <c r="A80" s="10" t="n">
        <v>76</v>
      </c>
      <c r="B80" s="11"/>
      <c r="C80" s="11"/>
      <c r="D80" s="12"/>
      <c r="E80" s="12"/>
      <c r="F80" s="11"/>
      <c r="G80" s="11"/>
      <c r="H80" s="11"/>
      <c r="I80" s="11"/>
    </row>
    <row r="81" customFormat="false" ht="27.75" hidden="false" customHeight="true" outlineLevel="0" collapsed="false">
      <c r="A81" s="10" t="n">
        <v>77</v>
      </c>
      <c r="B81" s="11"/>
      <c r="C81" s="11"/>
      <c r="D81" s="12"/>
      <c r="E81" s="12"/>
      <c r="F81" s="11"/>
      <c r="G81" s="11"/>
      <c r="H81" s="11"/>
      <c r="I81" s="11"/>
    </row>
    <row r="82" customFormat="false" ht="27.75" hidden="false" customHeight="true" outlineLevel="0" collapsed="false">
      <c r="A82" s="10" t="n">
        <v>78</v>
      </c>
      <c r="B82" s="11"/>
      <c r="C82" s="11"/>
      <c r="D82" s="12"/>
      <c r="E82" s="12"/>
      <c r="F82" s="11"/>
      <c r="G82" s="11"/>
      <c r="H82" s="11"/>
      <c r="I82" s="11"/>
    </row>
    <row r="83" customFormat="false" ht="27.75" hidden="false" customHeight="true" outlineLevel="0" collapsed="false">
      <c r="A83" s="10" t="n">
        <v>79</v>
      </c>
      <c r="B83" s="11"/>
      <c r="C83" s="11"/>
      <c r="D83" s="12"/>
      <c r="E83" s="12"/>
      <c r="F83" s="11"/>
      <c r="G83" s="11"/>
      <c r="H83" s="11"/>
      <c r="I83" s="11"/>
    </row>
    <row r="84" customFormat="false" ht="27.75" hidden="false" customHeight="true" outlineLevel="0" collapsed="false">
      <c r="A84" s="10" t="n">
        <v>80</v>
      </c>
      <c r="B84" s="11"/>
      <c r="C84" s="11"/>
      <c r="D84" s="12"/>
      <c r="E84" s="12"/>
      <c r="F84" s="11"/>
      <c r="G84" s="11"/>
      <c r="H84" s="11"/>
      <c r="I84" s="11"/>
    </row>
    <row r="85" customFormat="false" ht="27.75" hidden="false" customHeight="true" outlineLevel="0" collapsed="false">
      <c r="A85" s="10" t="n">
        <v>81</v>
      </c>
      <c r="B85" s="11"/>
      <c r="C85" s="11"/>
      <c r="D85" s="12"/>
      <c r="E85" s="12"/>
      <c r="F85" s="11"/>
      <c r="G85" s="11"/>
      <c r="H85" s="11"/>
      <c r="I85" s="11"/>
    </row>
    <row r="86" customFormat="false" ht="27.75" hidden="false" customHeight="true" outlineLevel="0" collapsed="false">
      <c r="A86" s="10" t="n">
        <v>82</v>
      </c>
      <c r="B86" s="11"/>
      <c r="C86" s="11"/>
      <c r="D86" s="12"/>
      <c r="E86" s="12"/>
      <c r="F86" s="11"/>
      <c r="G86" s="11"/>
      <c r="H86" s="11"/>
      <c r="I86" s="11"/>
    </row>
    <row r="87" customFormat="false" ht="27.75" hidden="false" customHeight="true" outlineLevel="0" collapsed="false">
      <c r="A87" s="10" t="n">
        <v>83</v>
      </c>
      <c r="B87" s="11"/>
      <c r="C87" s="11"/>
      <c r="D87" s="12"/>
      <c r="E87" s="12"/>
      <c r="F87" s="11"/>
      <c r="G87" s="11"/>
      <c r="H87" s="11"/>
      <c r="I87" s="11"/>
    </row>
    <row r="88" customFormat="false" ht="27.75" hidden="false" customHeight="true" outlineLevel="0" collapsed="false">
      <c r="A88" s="10" t="n">
        <v>84</v>
      </c>
      <c r="B88" s="11"/>
      <c r="C88" s="11"/>
      <c r="D88" s="12"/>
      <c r="E88" s="12"/>
      <c r="F88" s="11"/>
      <c r="G88" s="11"/>
      <c r="H88" s="11"/>
      <c r="I88" s="11"/>
    </row>
    <row r="89" customFormat="false" ht="27.75" hidden="false" customHeight="true" outlineLevel="0" collapsed="false">
      <c r="A89" s="10" t="n">
        <v>85</v>
      </c>
      <c r="B89" s="11"/>
      <c r="C89" s="11"/>
      <c r="D89" s="12"/>
      <c r="E89" s="12"/>
      <c r="F89" s="11"/>
      <c r="G89" s="11"/>
      <c r="H89" s="11"/>
      <c r="I89" s="11"/>
    </row>
    <row r="90" customFormat="false" ht="27.75" hidden="false" customHeight="true" outlineLevel="0" collapsed="false">
      <c r="A90" s="10" t="n">
        <v>86</v>
      </c>
      <c r="B90" s="11"/>
      <c r="C90" s="11"/>
      <c r="D90" s="12"/>
      <c r="E90" s="12"/>
      <c r="F90" s="11"/>
      <c r="G90" s="11"/>
      <c r="H90" s="11"/>
      <c r="I90" s="11"/>
    </row>
    <row r="91" customFormat="false" ht="27.75" hidden="false" customHeight="true" outlineLevel="0" collapsed="false">
      <c r="A91" s="10" t="n">
        <v>87</v>
      </c>
      <c r="B91" s="11"/>
      <c r="C91" s="11"/>
      <c r="D91" s="12"/>
      <c r="E91" s="12"/>
      <c r="F91" s="11"/>
      <c r="G91" s="11"/>
      <c r="H91" s="11"/>
      <c r="I91" s="11"/>
    </row>
    <row r="92" customFormat="false" ht="27.75" hidden="false" customHeight="true" outlineLevel="0" collapsed="false">
      <c r="A92" s="10" t="n">
        <v>88</v>
      </c>
      <c r="B92" s="11"/>
      <c r="C92" s="11"/>
      <c r="D92" s="12"/>
      <c r="E92" s="12"/>
      <c r="F92" s="11"/>
      <c r="G92" s="11"/>
      <c r="H92" s="11"/>
      <c r="I92" s="11"/>
    </row>
    <row r="93" customFormat="false" ht="27.75" hidden="false" customHeight="true" outlineLevel="0" collapsed="false">
      <c r="A93" s="10" t="n">
        <v>89</v>
      </c>
      <c r="B93" s="11"/>
      <c r="C93" s="11"/>
      <c r="D93" s="12"/>
      <c r="E93" s="12"/>
      <c r="F93" s="11"/>
      <c r="G93" s="11"/>
      <c r="H93" s="11"/>
      <c r="I93" s="11"/>
    </row>
    <row r="94" customFormat="false" ht="27.75" hidden="false" customHeight="true" outlineLevel="0" collapsed="false">
      <c r="A94" s="10" t="n">
        <v>90</v>
      </c>
      <c r="B94" s="11"/>
      <c r="C94" s="11"/>
      <c r="D94" s="12"/>
      <c r="E94" s="12"/>
      <c r="F94" s="11"/>
      <c r="G94" s="11"/>
      <c r="H94" s="11"/>
      <c r="I94" s="11"/>
    </row>
    <row r="95" customFormat="false" ht="27.75" hidden="false" customHeight="true" outlineLevel="0" collapsed="false">
      <c r="A95" s="10" t="n">
        <v>91</v>
      </c>
      <c r="B95" s="11"/>
      <c r="C95" s="11"/>
      <c r="D95" s="12"/>
      <c r="E95" s="12"/>
      <c r="F95" s="11"/>
      <c r="G95" s="11"/>
      <c r="H95" s="11"/>
      <c r="I95" s="11"/>
    </row>
    <row r="96" customFormat="false" ht="27.75" hidden="false" customHeight="true" outlineLevel="0" collapsed="false">
      <c r="A96" s="10" t="n">
        <v>92</v>
      </c>
      <c r="B96" s="11"/>
      <c r="C96" s="11"/>
      <c r="D96" s="12"/>
      <c r="E96" s="12"/>
      <c r="F96" s="11"/>
      <c r="G96" s="11"/>
      <c r="H96" s="11"/>
      <c r="I96" s="11"/>
    </row>
    <row r="97" customFormat="false" ht="27.75" hidden="false" customHeight="true" outlineLevel="0" collapsed="false">
      <c r="A97" s="10" t="n">
        <v>93</v>
      </c>
      <c r="B97" s="11"/>
      <c r="C97" s="11"/>
      <c r="D97" s="12"/>
      <c r="E97" s="12"/>
      <c r="F97" s="11"/>
      <c r="G97" s="11"/>
      <c r="H97" s="11"/>
      <c r="I97" s="11"/>
    </row>
    <row r="98" customFormat="false" ht="27.75" hidden="false" customHeight="true" outlineLevel="0" collapsed="false">
      <c r="A98" s="10" t="n">
        <v>94</v>
      </c>
      <c r="B98" s="11"/>
      <c r="C98" s="11"/>
      <c r="D98" s="12"/>
      <c r="E98" s="12"/>
      <c r="F98" s="11"/>
      <c r="G98" s="11"/>
      <c r="H98" s="11"/>
      <c r="I98" s="11"/>
    </row>
    <row r="99" customFormat="false" ht="27.75" hidden="false" customHeight="true" outlineLevel="0" collapsed="false">
      <c r="A99" s="10" t="n">
        <v>95</v>
      </c>
      <c r="B99" s="11"/>
      <c r="C99" s="11"/>
      <c r="D99" s="12"/>
      <c r="E99" s="12"/>
      <c r="F99" s="11"/>
      <c r="G99" s="11"/>
      <c r="H99" s="11"/>
      <c r="I99" s="11"/>
    </row>
    <row r="100" customFormat="false" ht="27.75" hidden="false" customHeight="true" outlineLevel="0" collapsed="false">
      <c r="A100" s="10" t="n">
        <v>96</v>
      </c>
      <c r="B100" s="11"/>
      <c r="C100" s="11"/>
      <c r="D100" s="12"/>
      <c r="E100" s="12"/>
      <c r="F100" s="11"/>
      <c r="G100" s="11"/>
      <c r="H100" s="11"/>
      <c r="I100" s="11"/>
    </row>
    <row r="101" customFormat="false" ht="27.75" hidden="false" customHeight="true" outlineLevel="0" collapsed="false">
      <c r="A101" s="10" t="n">
        <v>97</v>
      </c>
      <c r="B101" s="11"/>
      <c r="C101" s="11"/>
      <c r="D101" s="12"/>
      <c r="E101" s="12"/>
      <c r="F101" s="11"/>
      <c r="G101" s="11"/>
      <c r="H101" s="11"/>
      <c r="I101" s="11"/>
    </row>
    <row r="102" customFormat="false" ht="27.75" hidden="false" customHeight="true" outlineLevel="0" collapsed="false">
      <c r="A102" s="10" t="n">
        <v>98</v>
      </c>
      <c r="B102" s="11"/>
      <c r="C102" s="11"/>
      <c r="D102" s="12"/>
      <c r="E102" s="12"/>
      <c r="F102" s="11"/>
      <c r="G102" s="11"/>
      <c r="H102" s="11"/>
      <c r="I102" s="11"/>
    </row>
    <row r="103" customFormat="false" ht="27.75" hidden="false" customHeight="true" outlineLevel="0" collapsed="false">
      <c r="A103" s="10" t="n">
        <v>99</v>
      </c>
      <c r="B103" s="11"/>
      <c r="C103" s="11"/>
      <c r="D103" s="12"/>
      <c r="E103" s="12"/>
      <c r="F103" s="11"/>
      <c r="G103" s="11"/>
      <c r="H103" s="11"/>
      <c r="I103" s="11"/>
    </row>
    <row r="104" customFormat="false" ht="27.75" hidden="false" customHeight="true" outlineLevel="0" collapsed="false">
      <c r="A104" s="10" t="n">
        <v>100</v>
      </c>
      <c r="B104" s="11"/>
      <c r="C104" s="11"/>
      <c r="D104" s="12"/>
      <c r="E104" s="12"/>
      <c r="F104" s="11"/>
      <c r="G104" s="11"/>
      <c r="H104" s="11"/>
      <c r="I104" s="11"/>
    </row>
  </sheetData>
  <autoFilter ref="A1:I104"/>
  <dataValidations count="2">
    <dataValidation allowBlank="true" error="Use bn, en or bnglish" errorStyle="stop" errorTitle="Invalid language" operator="between" showDropDown="false" showErrorMessage="false" showInputMessage="false" sqref="B5:B104" type="list">
      <formula1>"bn,en,bnglish"</formula1>
      <formula2>0</formula2>
    </dataValidation>
    <dataValidation allowBlank="true" error="Pick one of the listed query types" errorStyle="stop" errorTitle="Invalid query_type" operator="between" showDropDown="false" showErrorMessage="false" showInputMessage="false" sqref="C5:C104" type="list">
      <formula1>"factual,date,policy,name,number,table,multi_hop,comparison,unanswerable"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8"/>
  </cols>
  <sheetData>
    <row r="1" customFormat="false" ht="15" hidden="false" customHeight="false" outlineLevel="0" collapsed="false">
      <c r="A1" s="13" t="s">
        <v>65</v>
      </c>
      <c r="B1" s="13" t="s">
        <v>66</v>
      </c>
    </row>
    <row r="2" customFormat="false" ht="15" hidden="false" customHeight="false" outlineLevel="0" collapsed="false">
      <c r="A2" s="6" t="s">
        <v>34</v>
      </c>
      <c r="B2" s="5" t="s">
        <v>67</v>
      </c>
    </row>
    <row r="3" customFormat="false" ht="15" hidden="false" customHeight="false" outlineLevel="0" collapsed="false">
      <c r="A3" s="6" t="s">
        <v>35</v>
      </c>
      <c r="B3" s="5" t="s">
        <v>68</v>
      </c>
    </row>
    <row r="4" customFormat="false" ht="15" hidden="false" customHeight="false" outlineLevel="0" collapsed="false">
      <c r="A4" s="6" t="s">
        <v>36</v>
      </c>
      <c r="B4" s="5" t="s">
        <v>69</v>
      </c>
    </row>
    <row r="5" customFormat="false" ht="15" hidden="false" customHeight="false" outlineLevel="0" collapsed="false">
      <c r="A5" s="6" t="s">
        <v>37</v>
      </c>
      <c r="B5" s="5" t="s">
        <v>70</v>
      </c>
    </row>
    <row r="6" customFormat="false" ht="15" hidden="false" customHeight="false" outlineLevel="0" collapsed="false">
      <c r="A6" s="6" t="s">
        <v>38</v>
      </c>
      <c r="B6" s="5" t="s">
        <v>71</v>
      </c>
    </row>
    <row r="7" customFormat="false" ht="15" hidden="false" customHeight="false" outlineLevel="0" collapsed="false">
      <c r="A7" s="6" t="s">
        <v>39</v>
      </c>
      <c r="B7" s="5" t="s">
        <v>72</v>
      </c>
    </row>
    <row r="8" customFormat="false" ht="15" hidden="false" customHeight="false" outlineLevel="0" collapsed="false">
      <c r="A8" s="6" t="s">
        <v>40</v>
      </c>
      <c r="B8" s="5" t="s">
        <v>73</v>
      </c>
    </row>
    <row r="9" customFormat="false" ht="15" hidden="false" customHeight="false" outlineLevel="0" collapsed="false">
      <c r="A9" s="6" t="s">
        <v>41</v>
      </c>
      <c r="B9" s="5" t="s">
        <v>74</v>
      </c>
    </row>
    <row r="10" customFormat="false" ht="15" hidden="false" customHeight="false" outlineLevel="0" collapsed="false">
      <c r="A10" s="6" t="s">
        <v>42</v>
      </c>
      <c r="B10" s="5" t="s">
        <v>75</v>
      </c>
    </row>
    <row r="12" customFormat="false" ht="15" hidden="false" customHeight="false" outlineLevel="0" collapsed="false">
      <c r="A12" s="2" t="s">
        <v>76</v>
      </c>
    </row>
    <row r="13" customFormat="false" ht="15" hidden="false" customHeight="false" outlineLevel="0" collapsed="false">
      <c r="A13" s="3" t="s">
        <v>60</v>
      </c>
      <c r="B13" s="3" t="s">
        <v>77</v>
      </c>
    </row>
    <row r="14" customFormat="false" ht="15" hidden="false" customHeight="false" outlineLevel="0" collapsed="false">
      <c r="A14" s="3" t="s">
        <v>45</v>
      </c>
      <c r="B14" s="3" t="s">
        <v>78</v>
      </c>
    </row>
    <row r="15" customFormat="false" ht="15" hidden="false" customHeight="false" outlineLevel="0" collapsed="false">
      <c r="A15" s="3" t="s">
        <v>79</v>
      </c>
      <c r="B15" s="3" t="s">
        <v>80</v>
      </c>
    </row>
    <row r="16" customFormat="false" ht="15" hidden="false" customHeight="false" outlineLevel="0" collapsed="false">
      <c r="A16" s="3" t="s">
        <v>81</v>
      </c>
      <c r="B16" s="3" t="s">
        <v>82</v>
      </c>
    </row>
    <row r="17" customFormat="false" ht="15" hidden="false" customHeight="false" outlineLevel="0" collapsed="false">
      <c r="A17" s="3" t="s">
        <v>83</v>
      </c>
      <c r="B17" s="3" t="s">
        <v>84</v>
      </c>
    </row>
    <row r="18" customFormat="false" ht="15" hidden="false" customHeight="false" outlineLevel="0" collapsed="false">
      <c r="A18" s="3" t="s">
        <v>52</v>
      </c>
      <c r="B18" s="3" t="s">
        <v>85</v>
      </c>
    </row>
    <row r="19" customFormat="false" ht="15" hidden="false" customHeight="false" outlineLevel="0" collapsed="false">
      <c r="A19" s="3" t="s">
        <v>86</v>
      </c>
      <c r="B19" s="3" t="s">
        <v>87</v>
      </c>
    </row>
    <row r="20" customFormat="false" ht="15" hidden="false" customHeight="false" outlineLevel="0" collapsed="false">
      <c r="A20" s="3" t="s">
        <v>88</v>
      </c>
      <c r="B20" s="3" t="s">
        <v>89</v>
      </c>
    </row>
    <row r="21" customFormat="false" ht="15" hidden="false" customHeight="false" outlineLevel="0" collapsed="false">
      <c r="A21" s="3" t="s">
        <v>90</v>
      </c>
      <c r="B21" s="3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2026-08-26T06:04:10Z</dcterms:created>
  <dc:creator>openpyxl</dc:creator>
  <dc:description/>
  <dc:language>en-US</dc:language>
  <cp:lastModifiedBy/>
  <dcterms:modified xsi:type="dcterms:W3CDTF">2026-08-26T06:04:10Z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